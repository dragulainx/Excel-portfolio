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06B7A7DF-1B6A-406E-9715-33933390647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Kunden" sheetId="3" r:id="rId1"/>
    <sheet name="Produkte" sheetId="4" r:id="rId2"/>
    <sheet name="Bestellungen" sheetId="5" r:id="rId3"/>
    <sheet name="Zusammenfassung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B2" i="6"/>
  <c r="E3" i="5"/>
  <c r="E4" i="5"/>
  <c r="E5" i="5"/>
  <c r="E6" i="5"/>
  <c r="E7" i="5"/>
  <c r="E8" i="5"/>
  <c r="E2" i="5"/>
  <c r="F3" i="5"/>
  <c r="F4" i="5"/>
  <c r="F5" i="5"/>
  <c r="F6" i="5"/>
  <c r="F7" i="5"/>
  <c r="F8" i="5"/>
  <c r="F2" i="5"/>
  <c r="I3" i="5"/>
  <c r="I4" i="5"/>
  <c r="I5" i="5"/>
  <c r="I6" i="5"/>
  <c r="I7" i="5"/>
  <c r="I8" i="5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2" i="5"/>
  <c r="H2" i="5" s="1"/>
  <c r="I2" i="5"/>
  <c r="E5" i="6" s="1"/>
  <c r="E4" i="6" l="1"/>
  <c r="E3" i="6"/>
  <c r="E7" i="6"/>
  <c r="J2" i="5"/>
  <c r="J3" i="5"/>
  <c r="J4" i="5"/>
  <c r="J5" i="5"/>
  <c r="J6" i="5"/>
  <c r="J7" i="5"/>
  <c r="J8" i="5"/>
</calcChain>
</file>

<file path=xl/sharedStrings.xml><?xml version="1.0" encoding="utf-8"?>
<sst xmlns="http://schemas.openxmlformats.org/spreadsheetml/2006/main" count="88" uniqueCount="64">
  <si>
    <t>Kunden_ID</t>
  </si>
  <si>
    <t>Name</t>
  </si>
  <si>
    <t>Stadt</t>
  </si>
  <si>
    <t>Email</t>
  </si>
  <si>
    <t>Segment</t>
  </si>
  <si>
    <t>K-001</t>
  </si>
  <si>
    <t>Anna Meier</t>
  </si>
  <si>
    <t>Zürich</t>
  </si>
  <si>
    <t>anna.meier@email.ch</t>
  </si>
  <si>
    <t>Premium</t>
  </si>
  <si>
    <t>K-002</t>
  </si>
  <si>
    <t>Bruno Koch</t>
  </si>
  <si>
    <t>Basel</t>
  </si>
  <si>
    <t>bruno.koch@email.ch</t>
  </si>
  <si>
    <t>Standard</t>
  </si>
  <si>
    <t>K-003</t>
  </si>
  <si>
    <t>Clara Huber</t>
  </si>
  <si>
    <t>Bern</t>
  </si>
  <si>
    <t>clara.huber@email.ch</t>
  </si>
  <si>
    <t>K-004</t>
  </si>
  <si>
    <t>David Steiner</t>
  </si>
  <si>
    <t>david.steiner@email.ch</t>
  </si>
  <si>
    <t>K-005</t>
  </si>
  <si>
    <t>Eva Müller</t>
  </si>
  <si>
    <t>Genf</t>
  </si>
  <si>
    <t>eva.müller@email.ch</t>
  </si>
  <si>
    <t>Produkt_ID</t>
  </si>
  <si>
    <t>Produkt_name</t>
  </si>
  <si>
    <t>Kategorie</t>
  </si>
  <si>
    <t>Preis (CHF)</t>
  </si>
  <si>
    <t>Lagerbestand</t>
  </si>
  <si>
    <t>P-001</t>
  </si>
  <si>
    <t>Notizbuch A4</t>
  </si>
  <si>
    <t>Büromaterial</t>
  </si>
  <si>
    <t>P-002</t>
  </si>
  <si>
    <t>Kugelschreiber</t>
  </si>
  <si>
    <t>P-003</t>
  </si>
  <si>
    <t>Hefter</t>
  </si>
  <si>
    <t>P-004</t>
  </si>
  <si>
    <t>Ordner</t>
  </si>
  <si>
    <t>Ablage</t>
  </si>
  <si>
    <t>P-005</t>
  </si>
  <si>
    <t>Whiteboard</t>
  </si>
  <si>
    <t>Präsentation</t>
  </si>
  <si>
    <t>Bestell-ID</t>
  </si>
  <si>
    <t>Menge</t>
  </si>
  <si>
    <t>Kundenname</t>
  </si>
  <si>
    <t>Produktname</t>
  </si>
  <si>
    <t>Gesamt Preis</t>
  </si>
  <si>
    <t>Umsatzeinteil%</t>
  </si>
  <si>
    <t>B-001</t>
  </si>
  <si>
    <t>B-002</t>
  </si>
  <si>
    <t>B-003</t>
  </si>
  <si>
    <t>B-004</t>
  </si>
  <si>
    <t>B-005</t>
  </si>
  <si>
    <t>B-006</t>
  </si>
  <si>
    <t>B-007</t>
  </si>
  <si>
    <t>Datenbankbericht :</t>
  </si>
  <si>
    <t>STAND:</t>
  </si>
  <si>
    <t>Gesamtumsatz (CHF)</t>
  </si>
  <si>
    <t>Umsatz Premium</t>
  </si>
  <si>
    <t>Umsatz Standard</t>
  </si>
  <si>
    <t>Anzahl Bestellungen</t>
  </si>
  <si>
    <t>Ø Bestellwert (CHF)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</si>
</sst>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CHF-100C]_-;\-* #,##0.00\ [$CHF-100C]_-;_-* &quot;-&quot;??\ [$CHF-100C]_-;_-@_-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164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3" fillId="4" borderId="0" xfId="0" applyFont="1" applyFill="1" applyAlignment="1">
      <alignment horizontal="right"/>
    </xf>
    <xf numFmtId="14" fontId="0" fillId="4" borderId="0" xfId="0" applyNumberFormat="1" applyFill="1"/>
    <xf numFmtId="10" fontId="0" fillId="0" borderId="0" xfId="0" applyNumberFormat="1"/>
    <xf numFmtId="0" fontId="2" fillId="5" borderId="0" xfId="0" applyFont="1" applyFill="1"/>
  </cellXfs>
  <cellStyles count="2">
    <cellStyle name="Hyperlink" xfId="1" builtinId="8"/>
    <cellStyle name="Normal" xfId="0" builtinId="0"/>
  </cellStyles>
  <dxfs count="6">
    <dxf>
      <numFmt numFmtId="14" formatCode="0.00%"/>
    </dxf>
    <dxf>
      <numFmt numFmtId="164" formatCode="_-* #,##0.00\ [$CHF-100C]_-;\-* #,##0.00\ [$CHF-100C]_-;_-* &quot;-&quot;??\ [$CHF-100C]_-;_-@_-"/>
    </dxf>
    <dxf>
      <numFmt numFmtId="164" formatCode="_-* #,##0.00\ [$CHF-100C]_-;\-* #,##0.00\ [$CHF-100C]_-;_-* &quot;-&quot;??\ [$CHF-100C]_-;_-@_-"/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4" tint="0.59999389629810485"/>
        </patternFill>
      </fill>
    </dxf>
    <dxf>
      <numFmt numFmtId="164" formatCode="_-* #,##0.00\ [$CHF-100C]_-;\-* #,##0.00\ [$CHF-100C]_-;_-* &quot;-&quot;??\ [$CHF-100C]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FD113-BB44-4250-900C-E2554956124A}" name="Table1" displayName="Table1" ref="A1:E6" totalsRowShown="0">
  <autoFilter ref="A1:E6" xr:uid="{542FD113-BB44-4250-900C-E2554956124A}"/>
  <tableColumns count="5">
    <tableColumn id="1" xr3:uid="{41AD13B0-069F-4F06-AD2E-4A60A0EBF4BF}" name="Kunden_ID"/>
    <tableColumn id="2" xr3:uid="{D32E648E-4CA3-4C89-8B1D-99FECF4A5DDD}" name="Name"/>
    <tableColumn id="3" xr3:uid="{56AEBABE-C27E-4E39-A830-E8B08C4C6D5B}" name="Stadt"/>
    <tableColumn id="4" xr3:uid="{3AA854DE-F19D-406C-A109-45C4FD2126AE}" name="Email" dataCellStyle="Hyperlink"/>
    <tableColumn id="5" xr3:uid="{1CF0C420-41C6-4257-A2E7-D3A6AF705911}" name="Segment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211C9B-6175-4423-BDDA-2A2118C6F290}" name="Table3" displayName="Table3" ref="A1:E6" totalsRowShown="0">
  <autoFilter ref="A1:E6" xr:uid="{D4211C9B-6175-4423-BDDA-2A2118C6F290}"/>
  <tableColumns count="5">
    <tableColumn id="1" xr3:uid="{A595BB13-E821-4EB2-8D15-735F6FB81FD8}" name="Produkt_ID"/>
    <tableColumn id="2" xr3:uid="{33BAD6BB-9F97-4AAA-92C6-A88CD1E09F8A}" name="Produkt_name"/>
    <tableColumn id="3" xr3:uid="{DDDAE37B-8F83-4A3C-A5BD-072EF6CE4B42}" name="Kategorie"/>
    <tableColumn id="4" xr3:uid="{F29C6AC2-A657-488C-9D75-40ADDD531566}" name="Preis (CHF)" dataDxfId="5"/>
    <tableColumn id="5" xr3:uid="{91C0F35B-CF5F-43D8-8BD3-A06CF4BC92E7}" name="Lagerbestand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51A02D-BD89-4A47-8FA1-2088AA87E801}" name="Table4" displayName="Table4" ref="A1:J8" totalsRowShown="0">
  <autoFilter ref="A1:J8" xr:uid="{F651A02D-BD89-4A47-8FA1-2088AA87E801}"/>
  <tableColumns count="10">
    <tableColumn id="1" xr3:uid="{E7AC2CD4-C3B5-40EE-ACC8-B9B0CAA9FBC3}" name="Bestell-ID"/>
    <tableColumn id="2" xr3:uid="{F7252E4E-7643-4033-9E13-2B85403D63F0}" name="Kunden_ID"/>
    <tableColumn id="3" xr3:uid="{D2066CFD-2AE8-4E2F-8D9B-A2115501A143}" name="Produkt_ID"/>
    <tableColumn id="4" xr3:uid="{D6E96C4F-3D60-48E2-BAD1-D5C3F73AA812}" name="Menge"/>
    <tableColumn id="5" xr3:uid="{35C68002-7729-49A7-8918-78E9482ABDFE}" name="Kundenname">
      <calculatedColumnFormula>_xlfn.XLOOKUP(B2,Kunden!$A$2:$A$6,Kunden!$B$2:$B$6,"Nicht Gefunden")</calculatedColumnFormula>
    </tableColumn>
    <tableColumn id="6" xr3:uid="{E7973CCF-44F6-417B-B99F-DC70CDD1A750}" name="Produktname">
      <calculatedColumnFormula>_xlfn.XLOOKUP(C2,Produkte!$A$2:$A$6,Produkte!$B$2:$B$6,"Nicht Gefunden")</calculatedColumnFormula>
    </tableColumn>
    <tableColumn id="7" xr3:uid="{BC71E664-8B13-4E78-8C99-B7E51400019B}" name="Preis (CHF)" dataDxfId="2">
      <calculatedColumnFormula>_xlfn.XLOOKUP(C2,Produkte!$A$2:$A$6,Produkte!$D$2:$D$6,"Nicht Gefunden")</calculatedColumnFormula>
    </tableColumn>
    <tableColumn id="8" xr3:uid="{B49B088C-1DBA-4581-9EE4-0D6CD4AD4C6B}" name="Gesamt Preis" dataDxfId="1">
      <calculatedColumnFormula>IFERROR(G2*D2,"NaN")</calculatedColumnFormula>
    </tableColumn>
    <tableColumn id="9" xr3:uid="{6A757F5F-B483-4B34-A1EB-E8C69521F24F}" name="Segment">
      <calculatedColumnFormula>_xlfn.XLOOKUP(B2,Kunden!$A$2:$A$6,Kunden!$E$2:$E$6,"Nicht Gefunden")</calculatedColumnFormula>
    </tableColumn>
    <tableColumn id="10" xr3:uid="{E65F1BCF-2D28-499E-B0B7-ED389D9C3103}" name="Umsatzeinteil%" dataDxfId="0">
      <calculatedColumnFormula>(H2/Zusammenfassung!$E$3)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ra.huber@email.ch" TargetMode="External"/><Relationship Id="rId2" Type="http://schemas.openxmlformats.org/officeDocument/2006/relationships/hyperlink" Target="mailto:bruno.koch@email.ch" TargetMode="External"/><Relationship Id="rId1" Type="http://schemas.openxmlformats.org/officeDocument/2006/relationships/hyperlink" Target="mailto:anna.meier@email.ch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eva.m&#252;ller@email.ch" TargetMode="External"/><Relationship Id="rId4" Type="http://schemas.openxmlformats.org/officeDocument/2006/relationships/hyperlink" Target="mailto:david.steiner@email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CAB2-6F3C-43C8-B027-5FCC79B1E184}">
  <dimension ref="A1:E6"/>
  <sheetViews>
    <sheetView workbookViewId="0">
      <selection activeCell="H17" sqref="H17"/>
    </sheetView>
  </sheetViews>
  <sheetFormatPr defaultRowHeight="15"/>
  <cols>
    <col min="1" max="1" width="13" bestFit="1" customWidth="1"/>
    <col min="2" max="2" width="13.5703125" bestFit="1" customWidth="1"/>
    <col min="4" max="4" width="21.42578125" bestFit="1" customWidth="1"/>
    <col min="5" max="5" width="11" bestFit="1" customWidth="1"/>
    <col min="12" max="12" width="1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s="1" t="s">
        <v>18</v>
      </c>
      <c r="E4" t="s">
        <v>9</v>
      </c>
    </row>
    <row r="5" spans="1:5">
      <c r="A5" t="s">
        <v>19</v>
      </c>
      <c r="B5" t="s">
        <v>20</v>
      </c>
      <c r="C5" t="s">
        <v>7</v>
      </c>
      <c r="D5" s="1" t="s">
        <v>21</v>
      </c>
      <c r="E5" t="s">
        <v>14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</sheetData>
  <hyperlinks>
    <hyperlink ref="D2" r:id="rId1" xr:uid="{77575188-D7AF-4A27-93C9-AF7B2378E834}"/>
    <hyperlink ref="D3" r:id="rId2" xr:uid="{A0E65DAF-B5EE-4CF0-ADDA-B757F0FE420F}"/>
    <hyperlink ref="D4" r:id="rId3" xr:uid="{571A7540-3E9A-45B7-8C9F-58C11766B286}"/>
    <hyperlink ref="D5" r:id="rId4" xr:uid="{EF66DF44-2B9C-46E4-B354-A7C8617F3E65}"/>
    <hyperlink ref="D6" r:id="rId5" xr:uid="{ADCC094C-7278-4BD1-8EDB-84DD44B89101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AC6A-7EE8-4EE8-8523-FC158BAC0689}">
  <dimension ref="A1:E6"/>
  <sheetViews>
    <sheetView workbookViewId="0">
      <selection activeCell="E1" sqref="E1"/>
    </sheetView>
  </sheetViews>
  <sheetFormatPr defaultRowHeight="15"/>
  <cols>
    <col min="1" max="1" width="13.28515625" bestFit="1" customWidth="1"/>
    <col min="2" max="2" width="16.42578125" bestFit="1" customWidth="1"/>
    <col min="3" max="3" width="12.28515625" bestFit="1" customWidth="1"/>
    <col min="4" max="4" width="12.85546875" style="2" bestFit="1" customWidth="1"/>
    <col min="5" max="5" width="15.140625" bestFit="1" customWidth="1"/>
  </cols>
  <sheetData>
    <row r="1" spans="1:5">
      <c r="A1" t="s">
        <v>26</v>
      </c>
      <c r="B1" t="s">
        <v>27</v>
      </c>
      <c r="C1" t="s">
        <v>28</v>
      </c>
      <c r="D1" s="2" t="s">
        <v>29</v>
      </c>
      <c r="E1" t="s">
        <v>30</v>
      </c>
    </row>
    <row r="2" spans="1:5">
      <c r="A2" t="s">
        <v>31</v>
      </c>
      <c r="B2" t="s">
        <v>32</v>
      </c>
      <c r="C2" t="s">
        <v>33</v>
      </c>
      <c r="D2" s="2">
        <v>4.5</v>
      </c>
      <c r="E2">
        <v>150</v>
      </c>
    </row>
    <row r="3" spans="1:5">
      <c r="A3" t="s">
        <v>34</v>
      </c>
      <c r="B3" t="s">
        <v>35</v>
      </c>
      <c r="C3" t="s">
        <v>33</v>
      </c>
      <c r="D3" s="2">
        <v>1.2</v>
      </c>
      <c r="E3">
        <v>500</v>
      </c>
    </row>
    <row r="4" spans="1:5">
      <c r="A4" t="s">
        <v>36</v>
      </c>
      <c r="B4" t="s">
        <v>37</v>
      </c>
      <c r="C4" t="s">
        <v>33</v>
      </c>
      <c r="D4" s="2">
        <v>12</v>
      </c>
      <c r="E4">
        <v>80</v>
      </c>
    </row>
    <row r="5" spans="1:5">
      <c r="A5" t="s">
        <v>38</v>
      </c>
      <c r="B5" t="s">
        <v>39</v>
      </c>
      <c r="C5" t="s">
        <v>40</v>
      </c>
      <c r="D5" s="2">
        <v>3.8</v>
      </c>
      <c r="E5">
        <v>200</v>
      </c>
    </row>
    <row r="6" spans="1:5">
      <c r="A6" t="s">
        <v>41</v>
      </c>
      <c r="B6" t="s">
        <v>42</v>
      </c>
      <c r="C6" t="s">
        <v>43</v>
      </c>
      <c r="D6" s="2">
        <v>89</v>
      </c>
      <c r="E6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2F56-3137-4087-B5F7-0EBC231C7496}">
  <dimension ref="A1:J8"/>
  <sheetViews>
    <sheetView workbookViewId="0">
      <selection activeCell="K15" sqref="K15"/>
    </sheetView>
  </sheetViews>
  <sheetFormatPr defaultRowHeight="15"/>
  <cols>
    <col min="1" max="1" width="11.7109375" bestFit="1" customWidth="1"/>
    <col min="2" max="2" width="13" bestFit="1" customWidth="1"/>
    <col min="3" max="3" width="13.28515625" bestFit="1" customWidth="1"/>
    <col min="4" max="4" width="9.28515625" bestFit="1" customWidth="1"/>
    <col min="5" max="5" width="15" bestFit="1" customWidth="1"/>
    <col min="6" max="6" width="26.140625" bestFit="1" customWidth="1"/>
    <col min="7" max="7" width="13.7109375" style="2" bestFit="1" customWidth="1"/>
    <col min="8" max="8" width="14.85546875" style="2" customWidth="1"/>
    <col min="9" max="9" width="11" bestFit="1" customWidth="1"/>
    <col min="10" max="10" width="23.28515625" style="11" bestFit="1" customWidth="1"/>
  </cols>
  <sheetData>
    <row r="1" spans="1:10">
      <c r="A1" t="s">
        <v>44</v>
      </c>
      <c r="B1" t="s">
        <v>0</v>
      </c>
      <c r="C1" t="s">
        <v>26</v>
      </c>
      <c r="D1" t="s">
        <v>45</v>
      </c>
      <c r="E1" t="s">
        <v>46</v>
      </c>
      <c r="F1" t="s">
        <v>47</v>
      </c>
      <c r="G1" s="2" t="s">
        <v>29</v>
      </c>
      <c r="H1" t="s">
        <v>48</v>
      </c>
      <c r="I1" t="s">
        <v>4</v>
      </c>
      <c r="J1" s="11" t="s">
        <v>49</v>
      </c>
    </row>
    <row r="2" spans="1:10">
      <c r="A2" t="s">
        <v>50</v>
      </c>
      <c r="B2" t="s">
        <v>15</v>
      </c>
      <c r="C2" t="s">
        <v>41</v>
      </c>
      <c r="D2">
        <v>1</v>
      </c>
      <c r="E2" t="str">
        <f>_xlfn.XLOOKUP(B2,Kunden!$A$2:$A$6,Kunden!$B$2:$B$6,"Nicht Gefunden")</f>
        <v>Clara Huber</v>
      </c>
      <c r="F2" t="str">
        <f>_xlfn.XLOOKUP(C2,Produkte!$A$2:$A$6,Produkte!$B$2:$B$6,"Nicht Gefunden")</f>
        <v>Whiteboard</v>
      </c>
      <c r="G2" s="2">
        <f>_xlfn.XLOOKUP(C2,Produkte!$A$2:$A$6,Produkte!$D$2:$D$6,"Nicht Gefunden")</f>
        <v>89</v>
      </c>
      <c r="H2" s="2">
        <f>IFERROR(G2*D2,"NaN")</f>
        <v>89</v>
      </c>
      <c r="I2" t="str">
        <f>_xlfn.XLOOKUP(B2,Kunden!$A$2:$A$6,Kunden!$E$2:$E$6,"Nicht Gefunden")</f>
        <v>Premium</v>
      </c>
      <c r="J2" s="11">
        <f>(H2/Zusammenfassung!$E$3)</f>
        <v>0.27300613496932513</v>
      </c>
    </row>
    <row r="3" spans="1:10">
      <c r="A3" t="s">
        <v>51</v>
      </c>
      <c r="B3" t="s">
        <v>5</v>
      </c>
      <c r="C3" t="s">
        <v>31</v>
      </c>
      <c r="D3">
        <v>10</v>
      </c>
      <c r="E3" t="str">
        <f>_xlfn.XLOOKUP(B3,Kunden!$A$2:$A$6,Kunden!$B$2:$B$6,"Nicht Gefunden")</f>
        <v>Anna Meier</v>
      </c>
      <c r="F3" t="str">
        <f>_xlfn.XLOOKUP(C3,Produkte!$A$2:$A$6,Produkte!$B$2:$B$6,"Nicht Gefunden")</f>
        <v>Notizbuch A4</v>
      </c>
      <c r="G3" s="2">
        <f>_xlfn.XLOOKUP(C3,Produkte!$A$2:$A$6,Produkte!$D$2:$D$6,"Nicht Gefunden")</f>
        <v>4.5</v>
      </c>
      <c r="H3" s="2">
        <f t="shared" ref="H3:H8" si="0">IFERROR(G3*D3,"NaN")</f>
        <v>45</v>
      </c>
      <c r="I3" t="str">
        <f>_xlfn.XLOOKUP(B3,Kunden!$A$2:$A$6,Kunden!$E$2:$E$6,"Nicht Gefunden")</f>
        <v>Premium</v>
      </c>
      <c r="J3" s="11">
        <f>(H3/Zusammenfassung!$E$3)</f>
        <v>0.13803680981595093</v>
      </c>
    </row>
    <row r="4" spans="1:10">
      <c r="A4" t="s">
        <v>52</v>
      </c>
      <c r="B4" t="s">
        <v>10</v>
      </c>
      <c r="C4" t="s">
        <v>36</v>
      </c>
      <c r="D4">
        <v>2</v>
      </c>
      <c r="E4" t="str">
        <f>_xlfn.XLOOKUP(B4,Kunden!$A$2:$A$6,Kunden!$B$2:$B$6,"Nicht Gefunden")</f>
        <v>Bruno Koch</v>
      </c>
      <c r="F4" t="str">
        <f>_xlfn.XLOOKUP(C4,Produkte!$A$2:$A$6,Produkte!$B$2:$B$6,"Nicht Gefunden")</f>
        <v>Hefter</v>
      </c>
      <c r="G4" s="2">
        <f>_xlfn.XLOOKUP(C4,Produkte!$A$2:$A$6,Produkte!$D$2:$D$6,"Nicht Gefunden")</f>
        <v>12</v>
      </c>
      <c r="H4" s="2">
        <f t="shared" si="0"/>
        <v>24</v>
      </c>
      <c r="I4" t="str">
        <f>_xlfn.XLOOKUP(B4,Kunden!$A$2:$A$6,Kunden!$E$2:$E$6,"Nicht Gefunden")</f>
        <v>Standard</v>
      </c>
      <c r="J4" s="11">
        <f>(H4/Zusammenfassung!$E$3)</f>
        <v>7.3619631901840496E-2</v>
      </c>
    </row>
    <row r="5" spans="1:10">
      <c r="A5" t="s">
        <v>53</v>
      </c>
      <c r="B5" t="s">
        <v>22</v>
      </c>
      <c r="C5" t="s">
        <v>34</v>
      </c>
      <c r="D5">
        <v>20</v>
      </c>
      <c r="E5" t="str">
        <f>_xlfn.XLOOKUP(B5,Kunden!$A$2:$A$6,Kunden!$B$2:$B$6,"Nicht Gefunden")</f>
        <v>Eva Müller</v>
      </c>
      <c r="F5" t="str">
        <f>_xlfn.XLOOKUP(C5,Produkte!$A$2:$A$6,Produkte!$B$2:$B$6,"Nicht Gefunden")</f>
        <v>Kugelschreiber</v>
      </c>
      <c r="G5" s="2">
        <f>_xlfn.XLOOKUP(C5,Produkte!$A$2:$A$6,Produkte!$D$2:$D$6,"Nicht Gefunden")</f>
        <v>1.2</v>
      </c>
      <c r="H5" s="2">
        <f t="shared" si="0"/>
        <v>24</v>
      </c>
      <c r="I5" t="str">
        <f>_xlfn.XLOOKUP(B5,Kunden!$A$2:$A$6,Kunden!$E$2:$E$6,"Nicht Gefunden")</f>
        <v>Premium</v>
      </c>
      <c r="J5" s="11">
        <f>(H5/Zusammenfassung!$E$3)</f>
        <v>7.3619631901840496E-2</v>
      </c>
    </row>
    <row r="6" spans="1:10">
      <c r="A6" t="s">
        <v>54</v>
      </c>
      <c r="B6" t="s">
        <v>5</v>
      </c>
      <c r="C6" t="s">
        <v>38</v>
      </c>
      <c r="D6">
        <v>5</v>
      </c>
      <c r="E6" t="str">
        <f>_xlfn.XLOOKUP(B6,Kunden!$A$2:$A$6,Kunden!$B$2:$B$6,"Nicht Gefunden")</f>
        <v>Anna Meier</v>
      </c>
      <c r="F6" t="str">
        <f>_xlfn.XLOOKUP(C6,Produkte!$A$2:$A$6,Produkte!$B$2:$B$6,"Nicht Gefunden")</f>
        <v>Ordner</v>
      </c>
      <c r="G6" s="2">
        <f>_xlfn.XLOOKUP(C6,Produkte!$A$2:$A$6,Produkte!$D$2:$D$6,"Nicht Gefunden")</f>
        <v>3.8</v>
      </c>
      <c r="H6" s="2">
        <f t="shared" si="0"/>
        <v>19</v>
      </c>
      <c r="I6" t="str">
        <f>_xlfn.XLOOKUP(B6,Kunden!$A$2:$A$6,Kunden!$E$2:$E$6,"Nicht Gefunden")</f>
        <v>Premium</v>
      </c>
      <c r="J6" s="11">
        <f>(H6/Zusammenfassung!$E$3)</f>
        <v>5.8282208588957052E-2</v>
      </c>
    </row>
    <row r="7" spans="1:10">
      <c r="A7" t="s">
        <v>55</v>
      </c>
      <c r="B7" t="s">
        <v>19</v>
      </c>
      <c r="C7" t="s">
        <v>41</v>
      </c>
      <c r="D7">
        <v>1</v>
      </c>
      <c r="E7" t="str">
        <f>_xlfn.XLOOKUP(B7,Kunden!$A$2:$A$6,Kunden!$B$2:$B$6,"Nicht Gefunden")</f>
        <v>David Steiner</v>
      </c>
      <c r="F7" t="str">
        <f>_xlfn.XLOOKUP(C7,Produkte!$A$2:$A$6,Produkte!$B$2:$B$6,"Nicht Gefunden")</f>
        <v>Whiteboard</v>
      </c>
      <c r="G7" s="2">
        <f>_xlfn.XLOOKUP(C7,Produkte!$A$2:$A$6,Produkte!$D$2:$D$6,"Nicht Gefunden")</f>
        <v>89</v>
      </c>
      <c r="H7" s="2">
        <f t="shared" si="0"/>
        <v>89</v>
      </c>
      <c r="I7" t="str">
        <f>_xlfn.XLOOKUP(B7,Kunden!$A$2:$A$6,Kunden!$E$2:$E$6,"Nicht Gefunden")</f>
        <v>Standard</v>
      </c>
      <c r="J7" s="11">
        <f>(H7/Zusammenfassung!$E$3)</f>
        <v>0.27300613496932513</v>
      </c>
    </row>
    <row r="8" spans="1:10">
      <c r="A8" t="s">
        <v>56</v>
      </c>
      <c r="B8" t="s">
        <v>15</v>
      </c>
      <c r="C8" t="s">
        <v>31</v>
      </c>
      <c r="D8">
        <v>8</v>
      </c>
      <c r="E8" t="str">
        <f>_xlfn.XLOOKUP(B8,Kunden!$A$2:$A$6,Kunden!$B$2:$B$6,"Nicht Gefunden")</f>
        <v>Clara Huber</v>
      </c>
      <c r="F8" t="str">
        <f>_xlfn.XLOOKUP(C8,Produkte!$A$2:$A$6,Produkte!$B$2:$B$6,"Nicht Gefunden")</f>
        <v>Notizbuch A4</v>
      </c>
      <c r="G8" s="2">
        <f>_xlfn.XLOOKUP(C8,Produkte!$A$2:$A$6,Produkte!$D$2:$D$6,"Nicht Gefunden")</f>
        <v>4.5</v>
      </c>
      <c r="H8" s="2">
        <f t="shared" si="0"/>
        <v>36</v>
      </c>
      <c r="I8" t="str">
        <f>_xlfn.XLOOKUP(B8,Kunden!$A$2:$A$6,Kunden!$E$2:$E$6,"Nicht Gefunden")</f>
        <v>Premium</v>
      </c>
      <c r="J8" s="11">
        <f>(H8/Zusammenfassung!$E$3)</f>
        <v>0.11042944785276074</v>
      </c>
    </row>
  </sheetData>
  <conditionalFormatting sqref="A1:J1048576">
    <cfRule type="expression" dxfId="4" priority="2">
      <formula>IF($I1 ="Standard",TRUE)</formula>
    </cfRule>
  </conditionalFormatting>
  <conditionalFormatting sqref="A1:J1048576">
    <cfRule type="expression" dxfId="3" priority="1">
      <formula>IF($I1="Premium",TRUE)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D107-4664-464A-836B-AE91FF75C4AC}">
  <dimension ref="A1:E7"/>
  <sheetViews>
    <sheetView tabSelected="1" workbookViewId="0">
      <selection activeCell="B8" sqref="B8"/>
    </sheetView>
  </sheetViews>
  <sheetFormatPr defaultRowHeight="15"/>
  <cols>
    <col min="1" max="1" width="21.7109375" customWidth="1"/>
    <col min="2" max="3" width="11.5703125" customWidth="1"/>
    <col min="4" max="4" width="19.140625" bestFit="1" customWidth="1"/>
    <col min="5" max="5" width="25.42578125" bestFit="1" customWidth="1"/>
  </cols>
  <sheetData>
    <row r="1" spans="1:5" ht="21" customHeight="1">
      <c r="A1" s="12" t="s">
        <v>57</v>
      </c>
      <c r="B1" s="3"/>
      <c r="C1" s="3"/>
    </row>
    <row r="2" spans="1:5">
      <c r="A2" s="9" t="s">
        <v>58</v>
      </c>
      <c r="B2" s="10">
        <f ca="1">TODAY()</f>
        <v>46211</v>
      </c>
      <c r="C2" s="4"/>
    </row>
    <row r="3" spans="1:5">
      <c r="D3" s="5" t="s">
        <v>59</v>
      </c>
      <c r="E3" s="6">
        <f>SUM(Bestellungen!H2:H8)</f>
        <v>326</v>
      </c>
    </row>
    <row r="4" spans="1:5">
      <c r="D4" s="7" t="s">
        <v>60</v>
      </c>
      <c r="E4" s="8">
        <f>SUMIF(Bestellungen!I2:I8,"Premium",Bestellungen!H2:H8)</f>
        <v>213</v>
      </c>
    </row>
    <row r="5" spans="1:5">
      <c r="D5" s="5" t="s">
        <v>61</v>
      </c>
      <c r="E5" s="6">
        <f>SUMIF(Bestellungen!I2:I8,"Standard",Bestellungen!H2:H8)</f>
        <v>113</v>
      </c>
    </row>
    <row r="6" spans="1:5">
      <c r="D6" s="7" t="s">
        <v>62</v>
      </c>
      <c r="E6" s="7">
        <f>COUNTA(Bestellungen!A2:A8)</f>
        <v>7</v>
      </c>
    </row>
    <row r="7" spans="1:5">
      <c r="D7" s="5" t="s">
        <v>63</v>
      </c>
      <c r="E7" s="5">
        <f>ROUND(AVERAGE(Bestellungen!H2:H8),2)</f>
        <v>46.57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2026-07-04T15:22:19Z</dcterms:created>
  <dcterms:modified xsi:type="dcterms:W3CDTF">2026-07-08T18:52:51Z</dcterms:modified>
  <cp:category/>
  <cp:contentStatus/>
</cp:coreProperties>
</file>