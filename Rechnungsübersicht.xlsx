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BCE2801A-3598-4123-BEA4-F2DC95C7A6A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echnungsübersicht" sheetId="1" r:id="rId1"/>
    <sheet name="Zusammenfassu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 a="1"/>
  <c r="D7" i="2"/>
  <c r="D6" i="2" a="1"/>
  <c r="D6" i="2"/>
  <c r="D5" i="2" a="1"/>
  <c r="D5" i="2"/>
  <c r="B1" i="2"/>
  <c r="G2" i="1" a="1"/>
  <c r="G2" i="1"/>
  <c r="H2" i="1" s="1" a="1"/>
  <c r="H2" i="1" s="1"/>
  <c r="G3" i="1" a="1"/>
  <c r="G3" i="1"/>
  <c r="H3" i="1" s="1" a="1"/>
  <c r="H3" i="1" s="1"/>
  <c r="G4" i="1" a="1"/>
  <c r="G4" i="1"/>
  <c r="H4" i="1" s="1" a="1"/>
  <c r="H4" i="1" s="1"/>
  <c r="G5" i="1" a="1"/>
  <c r="G5" i="1"/>
  <c r="H5" i="1" s="1" a="1"/>
  <c r="H5" i="1" s="1"/>
  <c r="G6" i="1" a="1"/>
  <c r="G6" i="1"/>
  <c r="H6" i="1" s="1" a="1"/>
  <c r="H6" i="1" s="1"/>
  <c r="G7" i="1" a="1"/>
  <c r="G7" i="1"/>
  <c r="H7" i="1" s="1" a="1"/>
  <c r="H7" i="1" s="1"/>
  <c r="G8" i="1" a="1"/>
  <c r="G8" i="1"/>
  <c r="H8" i="1" s="1" a="1"/>
  <c r="H8" i="1" s="1"/>
  <c r="D4" i="2"/>
  <c r="D3" i="2"/>
  <c r="D8" i="2" l="1" a="1"/>
  <c r="D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<sst xmlns="http://schemas.openxmlformats.org/spreadsheetml/2006/main" count="36" uniqueCount="31">
  <si>
    <t>Rechnungsnr.</t>
  </si>
  <si>
    <t>Kunde</t>
  </si>
  <si>
    <t>Rechnungsdatum</t>
  </si>
  <si>
    <t>Fälligkeitsdatum</t>
  </si>
  <si>
    <t>Betrag (CHF)</t>
  </si>
  <si>
    <t>Status</t>
  </si>
  <si>
    <t>Tage Überfällig</t>
  </si>
  <si>
    <t>Zahlungsstatus (Zeit)</t>
  </si>
  <si>
    <t>2024-001</t>
  </si>
  <si>
    <t>Anna Meier</t>
  </si>
  <si>
    <t>Bezahlt</t>
  </si>
  <si>
    <t>2024-002</t>
  </si>
  <si>
    <t>Bruno Koch</t>
  </si>
  <si>
    <t>Unbezahlt</t>
  </si>
  <si>
    <t>2024-003</t>
  </si>
  <si>
    <t>Clara Huber</t>
  </si>
  <si>
    <t>2024-004</t>
  </si>
  <si>
    <t>David Steiner</t>
  </si>
  <si>
    <t>2024-005</t>
  </si>
  <si>
    <t>Eva Müller</t>
  </si>
  <si>
    <t>2024-006</t>
  </si>
  <si>
    <t>Felic Bauer</t>
  </si>
  <si>
    <t>2024-007</t>
  </si>
  <si>
    <t>Sara Lang</t>
  </si>
  <si>
    <t>Stand:</t>
  </si>
  <si>
    <t>Anzahl Rechnungen :</t>
  </si>
  <si>
    <t>Gesamtumsatz (CHF)</t>
  </si>
  <si>
    <t>Bereits bezahlt (CHF)</t>
  </si>
  <si>
    <t>Offener Betrag (CHF)</t>
  </si>
  <si>
    <t>Unbezahlte Rechnungen</t>
  </si>
  <si>
    <t>Überfällige Rechnungen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</si>
</sst>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CHF-100C]_-;\-* #,##0.00\ [$CHF-100C]_-;_-* &quot;-&quot;??\ [$CHF-100C]_-;_-@_-"/>
    <numFmt numFmtId="165" formatCode="[$]dd\.mm\.yyyy;@" x16r2:formatCode16="[$-gsw-CH,1]dd\.mm\.yyyy;@"/>
  </numFmts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Font="1"/>
    <xf numFmtId="165" fontId="0" fillId="0" borderId="0" xfId="0" applyNumberFormat="1" applyFont="1"/>
    <xf numFmtId="164" fontId="0" fillId="0" borderId="0" xfId="0" applyNumberFormat="1" applyFont="1"/>
    <xf numFmtId="0" fontId="0" fillId="0" borderId="0" xfId="0" applyNumberFormat="1" applyFont="1" applyAlignment="1">
      <alignment wrapText="1"/>
    </xf>
    <xf numFmtId="0" fontId="0" fillId="0" borderId="0" xfId="0" applyFont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3" borderId="0" xfId="0" applyFont="1" applyFill="1"/>
    <xf numFmtId="0" fontId="0" fillId="2" borderId="0" xfId="0" applyFont="1" applyFill="1"/>
    <xf numFmtId="14" fontId="0" fillId="3" borderId="0" xfId="0" applyNumberFormat="1" applyFill="1"/>
    <xf numFmtId="0" fontId="0" fillId="4" borderId="0" xfId="0" applyFill="1" applyAlignment="1">
      <alignment horizontal="right"/>
    </xf>
  </cellXfs>
  <cellStyles count="1">
    <cellStyle name="Normal" xfId="0" builtinId="0"/>
  </cellStyles>
  <dxfs count="15">
    <dxf>
      <font>
        <sz val="11"/>
      </font>
      <numFmt numFmtId="0" formatCode="General"/>
    </dxf>
    <dxf>
      <font>
        <sz val="11"/>
      </font>
      <numFmt numFmtId="0" formatCode="General"/>
    </dxf>
    <dxf>
      <font>
        <sz val="11"/>
      </font>
    </dxf>
    <dxf>
      <font>
        <sz val="11"/>
      </font>
      <numFmt numFmtId="164" formatCode="_-* #,##0.00\ [$CHF-100C]_-;\-* #,##0.00\ [$CHF-100C]_-;_-* &quot;-&quot;??\ [$CHF-100C]_-;_-@_-"/>
    </dxf>
    <dxf>
      <font>
        <sz val="11"/>
      </font>
      <numFmt numFmtId="165" formatCode="[$]dd\.mm\.yyyy;@" x16r2:formatCode16="[$-gsw-CH,1]dd\.mm\.yyyy;@"/>
    </dxf>
    <dxf>
      <font>
        <sz val="11"/>
      </font>
      <numFmt numFmtId="165" formatCode="[$]dd\.mm\.yyyy;@" x16r2:formatCode16="[$-gsw-CH,1]dd\.mm\.yyyy;@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74CD08-35D0-4D0F-B032-09D8EFAB5C5A}" name="Table1" displayName="Table1" ref="A1:H8" totalsRowShown="0" headerRowDxfId="9" dataDxfId="8">
  <autoFilter ref="A1:H8" xr:uid="{E374CD08-35D0-4D0F-B032-09D8EFAB5C5A}"/>
  <tableColumns count="8">
    <tableColumn id="1" xr3:uid="{AF6130D1-39AE-424B-BCBF-BACC09241EE5}" name="Rechnungsnr." dataDxfId="7"/>
    <tableColumn id="2" xr3:uid="{86F25E67-4985-48B7-830A-0DE4230B8A1F}" name="Kunde" dataDxfId="6"/>
    <tableColumn id="3" xr3:uid="{5F09186B-91E4-4CBB-AC14-EE84A672AE96}" name="Rechnungsdatum" dataDxfId="5"/>
    <tableColumn id="4" xr3:uid="{D77DCC99-1018-47B6-954F-92193213AB08}" name="Fälligkeitsdatum" dataDxfId="4"/>
    <tableColumn id="5" xr3:uid="{10E4DF3A-B1DE-4365-93B5-C7815EA25713}" name="Betrag (CHF)" dataDxfId="3"/>
    <tableColumn id="6" xr3:uid="{100728C9-7F11-490D-85DD-02B5BE225E34}" name="Status" dataDxfId="2"/>
    <tableColumn id="7" xr3:uid="{2E654ED4-36F3-46E7-92E0-B94BA23F2E2C}" name="Tage Überfällig" dataDxfId="1">
      <calculatedColumnFormula array="1">_xlfn.IFS(OR(D2 = 0,D2 ="",ISNA(D2)),"ERROR!!! no date value",F2="Bezahlt",0,F2 = "Unbezahlt",MAX(0,TODAY()-D2),TRUE,"-")</calculatedColumnFormula>
    </tableColumn>
    <tableColumn id="8" xr3:uid="{A6C51E05-7B1B-4897-9400-3379DE8BFB8E}" name="Zahlungsstatus (Zeit)" dataDxfId="0">
      <calculatedColumnFormula array="1">_xlfn.IFS(G2 = "-","Fehlende Werte",OR(F2="",ISNA(F2)),"Fehlende Werte",F2="Bezahlt", "Erledigt", G2=0, "Noch nicht fällig", G2&lt;=30, "Bald Fällig", G2&gt;30, "Überfällig")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4" sqref="H4"/>
    </sheetView>
  </sheetViews>
  <sheetFormatPr defaultRowHeight="15"/>
  <cols>
    <col min="1" max="1" width="15.28515625" bestFit="1" customWidth="1"/>
    <col min="2" max="2" width="12.42578125" bestFit="1" customWidth="1"/>
    <col min="3" max="3" width="20" style="2" customWidth="1"/>
    <col min="4" max="4" width="24.140625" style="2" customWidth="1"/>
    <col min="5" max="5" width="24" style="1" bestFit="1" customWidth="1"/>
    <col min="6" max="6" width="10" customWidth="1"/>
    <col min="7" max="7" width="15.85546875" customWidth="1"/>
    <col min="8" max="8" width="20.7109375" customWidth="1"/>
    <col min="10" max="10" width="14.140625" customWidth="1"/>
  </cols>
  <sheetData>
    <row r="1" spans="1:8" ht="14.25" customHeight="1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3" t="s">
        <v>5</v>
      </c>
      <c r="G1" s="7" t="s">
        <v>6</v>
      </c>
      <c r="H1" s="7" t="s">
        <v>7</v>
      </c>
    </row>
    <row r="2" spans="1:8" ht="14.25" customHeight="1">
      <c r="A2" s="3" t="s">
        <v>8</v>
      </c>
      <c r="B2" s="3" t="s">
        <v>9</v>
      </c>
      <c r="C2" s="4">
        <v>45352</v>
      </c>
      <c r="D2" s="4">
        <v>45382</v>
      </c>
      <c r="E2" s="5">
        <v>4500</v>
      </c>
      <c r="F2" s="3" t="s">
        <v>10</v>
      </c>
      <c r="G2" s="6" cm="1">
        <f t="array" aca="1" ref="G2" ca="1">_xlfn.IFS(OR(D2 = 0,D2 ="",ISNA(D2)),"ERROR!!! no date value",F2="Bezahlt",0,F2 = "Unbezahlt",MAX(0,TODAY()-D2),TRUE,"-")</f>
        <v>0</v>
      </c>
      <c r="H2" s="7" t="str" cm="1">
        <f t="array" aca="1" ref="H2" ca="1">_xlfn.IFS(G2 = "-","Fehlende Werte",OR(F2="",ISNA(F2)),"Fehlende Werte",F2="Bezahlt", "Erledigt", G2=0, "Noch nicht fällig", G2&lt;=30, "Bald Fällig", G2&gt;30, "Überfällig")</f>
        <v>Erledigt</v>
      </c>
    </row>
    <row r="3" spans="1:8">
      <c r="A3" s="3" t="s">
        <v>11</v>
      </c>
      <c r="B3" s="3" t="s">
        <v>12</v>
      </c>
      <c r="C3" s="4">
        <v>45356</v>
      </c>
      <c r="D3" s="4">
        <v>45386</v>
      </c>
      <c r="E3" s="5">
        <v>1200</v>
      </c>
      <c r="F3" s="3" t="s">
        <v>13</v>
      </c>
      <c r="G3" s="6" cm="1">
        <f t="array" aca="1" ref="G3" ca="1">_xlfn.IFS(OR(D3 = 0,D3 ="",ISNA(D3)),"ERROR!!! no date value",F3="Bezahlt",0,F3 = "Unbezahlt",MAX(0,TODAY()-D3),TRUE,"-")</f>
        <v>825</v>
      </c>
      <c r="H3" s="7" t="str" cm="1">
        <f t="array" aca="1" ref="H3" ca="1">_xlfn.IFS(G3 = "-","Fehlende Werte",OR(F3="",ISNA(F3)),"Fehlende Werte",F3="Bezahlt", "Erledigt", G3=0, "Noch nicht fällig", G3&lt;=30, "Bald Fällig", G3&gt;30, "Überfällig")</f>
        <v>Überfällig</v>
      </c>
    </row>
    <row r="4" spans="1:8" ht="15" customHeight="1">
      <c r="A4" s="3" t="s">
        <v>14</v>
      </c>
      <c r="B4" s="3" t="s">
        <v>15</v>
      </c>
      <c r="C4" s="4">
        <v>45306</v>
      </c>
      <c r="D4" s="4">
        <v>45391</v>
      </c>
      <c r="E4" s="5">
        <v>3300</v>
      </c>
      <c r="F4" s="3" t="s">
        <v>10</v>
      </c>
      <c r="G4" s="6" cm="1">
        <f t="array" aca="1" ref="G4" ca="1">_xlfn.IFS(OR(D4 = 0,D4 ="",ISNA(D4)),"ERROR!!! no date value",F4="Bezahlt",0,F4 = "Unbezahlt",MAX(0,TODAY()-D4),TRUE,"-")</f>
        <v>0</v>
      </c>
      <c r="H4" s="7" t="str" cm="1">
        <f t="array" aca="1" ref="H4" ca="1">_xlfn.IFS(G4 = "-","Fehlende Werte",OR(F4="",ISNA(F4)),"Fehlende Werte",F4="Bezahlt", "Erledigt", G4=0, "Noch nicht fällig", G4&lt;=30, "Bald Fällig", G4&gt;30, "Überfällig")</f>
        <v>Erledigt</v>
      </c>
    </row>
    <row r="5" spans="1:8" ht="15.75" customHeight="1">
      <c r="A5" s="3" t="s">
        <v>16</v>
      </c>
      <c r="B5" s="3" t="s">
        <v>17</v>
      </c>
      <c r="C5" s="4">
        <v>45341</v>
      </c>
      <c r="D5" s="4">
        <v>45396</v>
      </c>
      <c r="E5" s="5">
        <v>800</v>
      </c>
      <c r="F5" s="3" t="s">
        <v>13</v>
      </c>
      <c r="G5" s="6" cm="1">
        <f t="array" aca="1" ref="G5" ca="1">_xlfn.IFS(OR(D5 = 0,D5 ="",ISNA(D5)),"ERROR!!! no date value",F5="Bezahlt",0,F5 = "Unbezahlt",MAX(0,TODAY()-D5),TRUE,"-")</f>
        <v>815</v>
      </c>
      <c r="H5" s="7" t="str" cm="1">
        <f t="array" aca="1" ref="H5" ca="1">_xlfn.IFS(G5 = "-","Fehlende Werte",OR(F5="",ISNA(F5)),"Fehlende Werte",F5="Bezahlt", "Erledigt", G5=0, "Noch nicht fällig", G5&lt;=30, "Bald Fällig", G5&gt;30, "Überfällig")</f>
        <v>Überfällig</v>
      </c>
    </row>
    <row r="6" spans="1:8" ht="13.5" customHeight="1">
      <c r="A6" s="3" t="s">
        <v>18</v>
      </c>
      <c r="B6" s="3" t="s">
        <v>19</v>
      </c>
      <c r="C6" s="4">
        <v>45478</v>
      </c>
      <c r="D6" s="4">
        <v>46222</v>
      </c>
      <c r="E6" s="5">
        <v>2100</v>
      </c>
      <c r="F6" s="3" t="s">
        <v>13</v>
      </c>
      <c r="G6" s="6" cm="1">
        <f t="array" aca="1" ref="G6" ca="1">_xlfn.IFS(OR(D6 = 0,D6 ="",ISNA(D6)),"ERROR!!! no date value",F6="Bezahlt",0,F6 = "Unbezahlt",MAX(0,TODAY()-D6),TRUE,"-")</f>
        <v>0</v>
      </c>
      <c r="H6" s="7" t="str" cm="1">
        <f t="array" aca="1" ref="H6" ca="1">_xlfn.IFS(G6 = "-","Fehlende Werte",OR(F6="",ISNA(F6)),"Fehlende Werte",F6="Bezahlt", "Erledigt", G6=0, "Noch nicht fällig", G6&lt;=30, "Bald Fällig", G6&gt;30, "Überfällig")</f>
        <v>Noch nicht fällig</v>
      </c>
    </row>
    <row r="7" spans="1:8">
      <c r="A7" s="3" t="s">
        <v>20</v>
      </c>
      <c r="B7" s="3" t="s">
        <v>21</v>
      </c>
      <c r="C7" s="4">
        <v>45372</v>
      </c>
      <c r="D7" s="4">
        <v>45406</v>
      </c>
      <c r="E7" s="5">
        <v>5600</v>
      </c>
      <c r="F7" s="3" t="s">
        <v>13</v>
      </c>
      <c r="G7" s="6" cm="1">
        <f t="array" aca="1" ref="G7" ca="1">_xlfn.IFS(OR(D7 = 0,D7 ="",ISNA(D7)),"ERROR!!! no date value",F7="Bezahlt",0,F7 = "Unbezahlt",MAX(0,TODAY()-D7),TRUE,"-")</f>
        <v>805</v>
      </c>
      <c r="H7" s="7" t="str" cm="1">
        <f t="array" aca="1" ref="H7" ca="1">_xlfn.IFS(G7 = "-","Fehlende Werte",OR(F7="",ISNA(F7)),"Fehlende Werte",F7="Bezahlt", "Erledigt", G7=0, "Noch nicht fällig", G7&lt;=30, "Bald Fällig", G7&gt;30, "Überfällig")</f>
        <v>Überfällig</v>
      </c>
    </row>
    <row r="8" spans="1:8">
      <c r="A8" s="3" t="s">
        <v>22</v>
      </c>
      <c r="B8" s="3" t="s">
        <v>23</v>
      </c>
      <c r="C8" s="4">
        <v>45383</v>
      </c>
      <c r="D8" s="4">
        <v>45413</v>
      </c>
      <c r="E8" s="5">
        <v>950</v>
      </c>
      <c r="F8" s="3" t="s">
        <v>10</v>
      </c>
      <c r="G8" s="6" cm="1">
        <f t="array" aca="1" ref="G8" ca="1">_xlfn.IFS(OR(D8 = 0,D8 ="",ISNA(D8)),"ERROR!!! no date value",F8="Bezahlt",0,F8 = "Unbezahlt",MAX(0,TODAY()-D8),TRUE,"-")</f>
        <v>0</v>
      </c>
      <c r="H8" s="7" t="str" cm="1">
        <f t="array" aca="1" ref="H8" ca="1">_xlfn.IFS(G8 = "-","Fehlende Werte",OR(F8="",ISNA(F8)),"Fehlende Werte",F8="Bezahlt", "Erledigt", G8=0, "Noch nicht fällig", G8&lt;=30, "Bald Fällig", G8&gt;30, "Überfällig")</f>
        <v>Erledigt</v>
      </c>
    </row>
  </sheetData>
  <conditionalFormatting sqref="H5">
    <cfRule type="expression" dxfId="14" priority="3">
      <formula>IF($H2 = "Soon due",TRUE)</formula>
    </cfRule>
  </conditionalFormatting>
  <conditionalFormatting sqref="A1:H1048576">
    <cfRule type="expression" dxfId="13" priority="2">
      <formula>IF($H1 = "Überfällig",TRUE)</formula>
    </cfRule>
  </conditionalFormatting>
  <conditionalFormatting sqref="A1:H1048576">
    <cfRule type="expression" dxfId="12" priority="1" stopIfTrue="1">
      <formula>IF($H1= "Erledigt",TRUE)</formula>
    </cfRule>
  </conditionalFormatting>
  <conditionalFormatting sqref="E11:E15">
    <cfRule type="expression" dxfId="11" priority="5">
      <formula>IF($H10 = "Overdue",TRUE)</formula>
    </cfRule>
  </conditionalFormatting>
  <conditionalFormatting sqref="E11:E15">
    <cfRule type="expression" dxfId="10" priority="8" stopIfTrue="1">
      <formula>IF($H10= "Done",TRUE)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46A3C-A229-429F-BA96-B24C8CBCCCE1}">
  <dimension ref="A1:D8"/>
  <sheetViews>
    <sheetView workbookViewId="0">
      <selection activeCell="G10" sqref="G10"/>
    </sheetView>
  </sheetViews>
  <sheetFormatPr defaultRowHeight="15"/>
  <cols>
    <col min="1" max="1" width="12.42578125" customWidth="1"/>
    <col min="2" max="2" width="13.85546875" customWidth="1"/>
    <col min="3" max="3" width="22.5703125" bestFit="1" customWidth="1"/>
    <col min="4" max="4" width="9.42578125" customWidth="1"/>
    <col min="8" max="8" width="22.5703125" bestFit="1" customWidth="1"/>
  </cols>
  <sheetData>
    <row r="1" spans="1:4">
      <c r="A1" s="15" t="s">
        <v>24</v>
      </c>
      <c r="B1" s="14">
        <f ca="1">TODAY()</f>
        <v>46211</v>
      </c>
    </row>
    <row r="3" spans="1:4">
      <c r="C3" s="8" t="s">
        <v>25</v>
      </c>
      <c r="D3" s="8">
        <f>COUNTA(Rechnungsübersicht!A2:A8)</f>
        <v>7</v>
      </c>
    </row>
    <row r="4" spans="1:4">
      <c r="C4" s="12" t="s">
        <v>26</v>
      </c>
      <c r="D4" s="10">
        <f>_xlfn.AGGREGATE(9,6,Rechnungsübersicht!E:E)</f>
        <v>18450</v>
      </c>
    </row>
    <row r="5" spans="1:4">
      <c r="C5" s="13" t="s">
        <v>27</v>
      </c>
      <c r="D5" s="9" cm="1">
        <f t="array" ref="D5">SUMPRODUCT((Rechnungsübersicht!F2:F100="Bezahlt")*IFERROR(Rechnungsübersicht!E2:E100,0))</f>
        <v>8750</v>
      </c>
    </row>
    <row r="6" spans="1:4">
      <c r="C6" s="12" t="s">
        <v>28</v>
      </c>
      <c r="D6" s="10" cm="1">
        <f t="array" ref="D6">SUMPRODUCT((Rechnungsübersicht!F2:F100="Unbezahlt")*IFERROR(Rechnungsübersicht!E2:E100,0))</f>
        <v>9700</v>
      </c>
    </row>
    <row r="7" spans="1:4">
      <c r="C7" s="13" t="s">
        <v>29</v>
      </c>
      <c r="D7" s="8" cm="1">
        <f t="array" ref="D7">SUMPRODUCT(--(IFERROR(Rechnungsübersicht!F2:F1000,"")="Unbezahlt"))</f>
        <v>4</v>
      </c>
    </row>
    <row r="8" spans="1:4" ht="12.75" customHeight="1">
      <c r="C8" s="12" t="s">
        <v>30</v>
      </c>
      <c r="D8" s="11" cm="1">
        <f t="array" aca="1" ref="D8" ca="1">SUMPRODUCT(--(IFERROR(Rechnungsübersicht!H2:H1000,"")="Überfällig"))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2026-06-25T19:16:17Z</dcterms:created>
  <dcterms:modified xsi:type="dcterms:W3CDTF">2026-07-08T18:51:39Z</dcterms:modified>
  <cp:category/>
  <cp:contentStatus/>
</cp:coreProperties>
</file>