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39944257-905E-4F91-AD4A-2F585AE8E924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Roh_daten" sheetId="1" r:id="rId1"/>
    <sheet name="Bereinigte_Daten" sheetId="2" r:id="rId2"/>
    <sheet name="Dokumentation" sheetId="4" r:id="rId3"/>
  </sheets>
  <definedNames>
    <definedName name="_xlnm._FilterDatabase" localSheetId="0" hidden="1">Roh_daten!#REF!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</calcChain>
</file>

<file path=xl/sharedStrings.xml><?xml version="1.0" encoding="utf-8"?>
<sst xmlns="http://schemas.openxmlformats.org/spreadsheetml/2006/main" count="118" uniqueCount="64">
  <si>
    <t>ID</t>
  </si>
  <si>
    <t>Client Name</t>
  </si>
  <si>
    <t>City</t>
  </si>
  <si>
    <t>Country</t>
  </si>
  <si>
    <t>Invoice Amount</t>
  </si>
  <si>
    <t>Date</t>
  </si>
  <si>
    <t>Status</t>
  </si>
  <si>
    <t xml:space="preserve">anna  meier </t>
  </si>
  <si>
    <t xml:space="preserve">zürich  </t>
  </si>
  <si>
    <t>switzerland</t>
  </si>
  <si>
    <t>15.03.2024</t>
  </si>
  <si>
    <t>paid</t>
  </si>
  <si>
    <t>BRUNO KOCH</t>
  </si>
  <si>
    <t>Basel</t>
  </si>
  <si>
    <t>CH</t>
  </si>
  <si>
    <t>18.03.2024</t>
  </si>
  <si>
    <t>Unpaid</t>
  </si>
  <si>
    <t xml:space="preserve">  anna mEier  </t>
  </si>
  <si>
    <t>zürich</t>
  </si>
  <si>
    <t>Clara Huber</t>
  </si>
  <si>
    <t>BERN</t>
  </si>
  <si>
    <t>Switzerland</t>
  </si>
  <si>
    <t>22.03.2024</t>
  </si>
  <si>
    <t>Paid</t>
  </si>
  <si>
    <t>david   steiner</t>
  </si>
  <si>
    <t>bern</t>
  </si>
  <si>
    <t>swiss</t>
  </si>
  <si>
    <t>25.03.2024</t>
  </si>
  <si>
    <t>unpaid</t>
  </si>
  <si>
    <t xml:space="preserve">Eva Müller </t>
  </si>
  <si>
    <t>Zürich</t>
  </si>
  <si>
    <t>28.03.2024</t>
  </si>
  <si>
    <t xml:space="preserve"> Felix  bauer</t>
  </si>
  <si>
    <t>basel</t>
  </si>
  <si>
    <t>30.03.2024</t>
  </si>
  <si>
    <t>country</t>
  </si>
  <si>
    <t>country cleaned</t>
  </si>
  <si>
    <t>LEGENDE:</t>
  </si>
  <si>
    <t>Anna Meier</t>
  </si>
  <si>
    <t>Rot:</t>
  </si>
  <si>
    <t>Unbezahlt</t>
  </si>
  <si>
    <t>Bruno Koch</t>
  </si>
  <si>
    <t>Gelb:</t>
  </si>
  <si>
    <t>Fehlende werte</t>
  </si>
  <si>
    <t>Bern</t>
  </si>
  <si>
    <t>David Steiner</t>
  </si>
  <si>
    <t>Eva Müller</t>
  </si>
  <si>
    <t>Felix Bauer</t>
  </si>
  <si>
    <t>SPALTEN</t>
  </si>
  <si>
    <t>GEFUNDENE PROBLEME</t>
  </si>
  <si>
    <t>Ergriffene Massnahme</t>
  </si>
  <si>
    <t>Client name</t>
  </si>
  <si>
    <t>Inkonsistente Groß-/Kleinschreibung</t>
  </si>
  <si>
    <r>
      <rPr>
        <sz val="11"/>
        <color rgb="FF70AD47"/>
        <rFont val="Calibri"/>
        <scheme val="minor"/>
      </rPr>
      <t>Proper(trim())</t>
    </r>
    <r>
      <rPr>
        <sz val="11"/>
        <color rgb="FF000000"/>
        <rFont val="Calibri"/>
        <scheme val="minor"/>
      </rPr>
      <t xml:space="preserve"> angewendet</t>
    </r>
  </si>
  <si>
    <t>Drei Formate:"swiss","switzerland","CH","swiss"</t>
  </si>
  <si>
    <r>
      <rPr>
        <sz val="11"/>
        <color rgb="FF000000"/>
        <rFont val="Calibri"/>
        <scheme val="minor"/>
      </rPr>
      <t xml:space="preserve">Alle zu Switzerland Standardiziert unter verwendung von </t>
    </r>
    <r>
      <rPr>
        <sz val="11"/>
        <color rgb="FF70AD47"/>
        <rFont val="Calibri"/>
        <scheme val="minor"/>
      </rPr>
      <t>VLOOKUP()</t>
    </r>
  </si>
  <si>
    <t>Invoice amount</t>
  </si>
  <si>
    <t>ID 1007 felhlender Wert</t>
  </si>
  <si>
    <t>Fehlende werte markiert</t>
  </si>
  <si>
    <t>Inkonsistente formatten</t>
  </si>
  <si>
    <t>Alle Neu formatiert zu TT.MM.YYYY</t>
  </si>
  <si>
    <t>Duplikate</t>
  </si>
  <si>
    <t>ID 1003 exakt Duplikat von 1001</t>
  </si>
  <si>
    <t>Mit dem Tool „Duplikate entfernen“ entfernt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</si>
</sst>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]dd\.mm\.yy;@" x16r2:formatCode16="[$-gsw-CH,1]dd\.mm\.yy;@"/>
    <numFmt numFmtId="165" formatCode="[$]dd\.mm\.yyyy;@" x16r2:formatCode16="[$-gsw-CH,1]dd\.mm\.yyyy;@"/>
    <numFmt numFmtId="166" formatCode="_-* #,##0.00\ [$CHF-100C]_-;\-* #,##0.00\ [$CHF-100C]_-;_-* &quot;-&quot;??\ [$CHF-100C]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70AD47"/>
      <name val="Calibri"/>
      <scheme val="minor"/>
    </font>
    <font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/>
    <xf numFmtId="0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/>
    <xf numFmtId="0" fontId="0" fillId="0" borderId="0" xfId="0" applyFill="1"/>
    <xf numFmtId="0" fontId="0" fillId="3" borderId="6" xfId="0" applyFill="1" applyBorder="1"/>
    <xf numFmtId="0" fontId="0" fillId="2" borderId="3" xfId="0" applyFill="1" applyBorder="1"/>
    <xf numFmtId="0" fontId="0" fillId="0" borderId="8" xfId="0" applyBorder="1"/>
    <xf numFmtId="0" fontId="0" fillId="4" borderId="5" xfId="0" applyFill="1" applyBorder="1"/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13">
    <dxf>
      <alignment horizontal="center" vertic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/>
    </dxf>
    <dxf>
      <alignment horizontal="center" vertical="center"/>
    </dxf>
    <dxf>
      <numFmt numFmtId="19" formatCode="m/d/yyyy"/>
    </dxf>
    <dxf>
      <numFmt numFmtId="166" formatCode="_-* #,##0.00\ [$CHF-100C]_-;\-* #,##0.00\ [$CHF-100C]_-;_-* &quot;-&quot;??\ [$CHF-100C]_-;_-@_-"/>
    </dxf>
    <dxf>
      <font>
        <color rgb="FF9C0006"/>
      </font>
      <fill>
        <patternFill>
          <bgColor rgb="FFFFC7CE"/>
        </patternFill>
      </fill>
    </dxf>
    <dxf>
      <font>
        <color theme="1" tint="4.9989318521683403E-2"/>
      </font>
      <fill>
        <patternFill patternType="solid">
          <bgColor rgb="FFFFFF00"/>
        </patternFill>
      </fill>
    </dxf>
    <dxf>
      <numFmt numFmtId="165" formatCode="[$]dd\.mm\.yyyy;@" x16r2:formatCode16="[$-gsw-CH,1]dd\.mm\.yyyy;@"/>
    </dxf>
    <dxf>
      <numFmt numFmtId="0" formatCode="General"/>
    </dxf>
  </dxfs>
  <tableStyles count="0" defaultTableStyle="TableStyleMedium2" defaultPivotStyle="PivotStyleMedium9"/>
  <colors>
    <mruColors>
      <color rgb="FFF6FF96"/>
      <color rgb="FFAB52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C36832-E0DA-4522-B141-AE0EF37EF6E1}" name="Table1" displayName="Table1" ref="A1:G8" totalsRowShown="0">
  <autoFilter ref="A1:G8" xr:uid="{54C36832-E0DA-4522-B141-AE0EF37EF6E1}"/>
  <tableColumns count="7">
    <tableColumn id="1" xr3:uid="{D8989F14-B712-4692-A94B-9A000159E00A}" name="ID"/>
    <tableColumn id="2" xr3:uid="{E2267461-512E-4FF4-A8E9-9EC1B81F9172}" name="Client Name"/>
    <tableColumn id="3" xr3:uid="{63D86B3E-D098-42AC-A0D2-61D4E90E7200}" name="City"/>
    <tableColumn id="4" xr3:uid="{7D6FD00D-42B5-438A-86FF-FF0FAF0EDA17}" name="Country"/>
    <tableColumn id="5" xr3:uid="{531017C8-B767-4D5C-A093-CFBE15C57B3D}" name="Invoice Amount" dataDxfId="12"/>
    <tableColumn id="6" xr3:uid="{9D5B4C63-8853-4535-BADF-06A95BF3B8D9}" name="Date" dataDxfId="11"/>
    <tableColumn id="7" xr3:uid="{CB3A34F9-CEAA-447C-85F9-48FD93E3BE2E}" name="Status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6369D7-8D37-41EE-BB3C-24F23431F130}" name="Table2" displayName="Table2" ref="A1:G7" totalsRowShown="0">
  <autoFilter ref="A1:G7" xr:uid="{AB6369D7-8D37-41EE-BB3C-24F23431F130}"/>
  <tableColumns count="7">
    <tableColumn id="1" xr3:uid="{A316D184-70D5-4BFB-BFD8-5F1C974B7B1F}" name="ID"/>
    <tableColumn id="2" xr3:uid="{1999974A-6A15-4FEF-B6C3-9C318A7BD1C8}" name="Client Name"/>
    <tableColumn id="3" xr3:uid="{350ED3C9-8DE6-4672-864D-63399887EFED}" name="City"/>
    <tableColumn id="4" xr3:uid="{F2D702B8-FA1C-43A7-A5F6-BEA004937C01}" name="Country"/>
    <tableColumn id="5" xr3:uid="{751E196C-9E29-4A38-AEAE-DCBAD203782A}" name="Invoice Amount" dataDxfId="8"/>
    <tableColumn id="6" xr3:uid="{C30F6961-3839-4561-B62D-F45DC5B7AC4B}" name="Date" dataDxfId="7"/>
    <tableColumn id="7" xr3:uid="{1B3F1517-3DDF-40CA-A5AB-E6634A13F92E}" name="Status"/>
  </tableColumns>
  <tableStyleInfo name="TableStyleDark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0CA45F-0EB0-4EBF-A487-D85BC8566399}" name="Table3" displayName="Table3" ref="A1:C8" totalsRowShown="0" headerRowDxfId="6" dataDxfId="5" headerRowBorderDxfId="3" tableBorderDxfId="4">
  <autoFilter ref="A1:C8" xr:uid="{630CA45F-0EB0-4EBF-A487-D85BC8566399}"/>
  <tableColumns count="3">
    <tableColumn id="1" xr3:uid="{4BC9680B-B08A-437E-87A2-1F4409933FD8}" name="SPALTEN" dataDxfId="2"/>
    <tableColumn id="2" xr3:uid="{0F2607BE-24CF-454B-A4BD-5272089A5E45}" name="GEFUNDENE PROBLEME" dataDxfId="1"/>
    <tableColumn id="3" xr3:uid="{8533657D-DC21-43FF-9790-A60CEB126614}" name="Ergriffene Massnahm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workbookViewId="0">
      <selection activeCell="E12" sqref="E12"/>
    </sheetView>
  </sheetViews>
  <sheetFormatPr defaultRowHeight="15"/>
  <cols>
    <col min="1" max="1" width="14.7109375" bestFit="1" customWidth="1"/>
    <col min="2" max="2" width="14.140625" bestFit="1" customWidth="1"/>
    <col min="3" max="3" width="14.85546875" bestFit="1" customWidth="1"/>
    <col min="4" max="4" width="11.140625" customWidth="1"/>
    <col min="5" max="5" width="17.28515625" style="2" bestFit="1" customWidth="1"/>
    <col min="6" max="6" width="11.140625" style="1" bestFit="1" customWidth="1"/>
    <col min="10" max="10" width="10.5703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1" t="s">
        <v>5</v>
      </c>
      <c r="G1" t="s">
        <v>6</v>
      </c>
    </row>
    <row r="2" spans="1:10">
      <c r="A2">
        <v>1001</v>
      </c>
      <c r="B2" t="s">
        <v>7</v>
      </c>
      <c r="C2" t="s">
        <v>8</v>
      </c>
      <c r="D2" t="s">
        <v>9</v>
      </c>
      <c r="E2" s="2">
        <v>4500</v>
      </c>
      <c r="F2" s="4" t="s">
        <v>10</v>
      </c>
      <c r="G2" t="s">
        <v>11</v>
      </c>
      <c r="J2" s="4" t="str">
        <f>PROPER(TRIM(G2))</f>
        <v>Paid</v>
      </c>
    </row>
    <row r="3" spans="1:10">
      <c r="A3">
        <v>1002</v>
      </c>
      <c r="B3" t="s">
        <v>12</v>
      </c>
      <c r="C3" t="s">
        <v>13</v>
      </c>
      <c r="D3" t="s">
        <v>14</v>
      </c>
      <c r="E3" s="2">
        <v>1200</v>
      </c>
      <c r="F3" s="4" t="s">
        <v>15</v>
      </c>
      <c r="G3" t="s">
        <v>16</v>
      </c>
      <c r="J3" s="4" t="str">
        <f t="shared" ref="J3:J8" si="0">PROPER(TRIM(G3))</f>
        <v>Unpaid</v>
      </c>
    </row>
    <row r="4" spans="1:10">
      <c r="A4">
        <v>1003</v>
      </c>
      <c r="B4" t="s">
        <v>17</v>
      </c>
      <c r="C4" t="s">
        <v>18</v>
      </c>
      <c r="D4" t="s">
        <v>9</v>
      </c>
      <c r="E4" s="2">
        <v>4500</v>
      </c>
      <c r="F4" s="4" t="s">
        <v>10</v>
      </c>
      <c r="G4" t="s">
        <v>11</v>
      </c>
      <c r="J4" s="4" t="str">
        <f t="shared" si="0"/>
        <v>Paid</v>
      </c>
    </row>
    <row r="5" spans="1:10">
      <c r="A5">
        <v>1004</v>
      </c>
      <c r="B5" t="s">
        <v>19</v>
      </c>
      <c r="C5" t="s">
        <v>20</v>
      </c>
      <c r="D5" t="s">
        <v>21</v>
      </c>
      <c r="E5" s="2">
        <v>3300</v>
      </c>
      <c r="F5" s="4" t="s">
        <v>22</v>
      </c>
      <c r="G5" t="s">
        <v>23</v>
      </c>
      <c r="J5" s="4" t="str">
        <f t="shared" si="0"/>
        <v>Paid</v>
      </c>
    </row>
    <row r="6" spans="1:10">
      <c r="A6">
        <v>1005</v>
      </c>
      <c r="B6" t="s">
        <v>24</v>
      </c>
      <c r="C6" t="s">
        <v>25</v>
      </c>
      <c r="D6" t="s">
        <v>26</v>
      </c>
      <c r="E6" s="2">
        <v>800</v>
      </c>
      <c r="F6" s="4" t="s">
        <v>27</v>
      </c>
      <c r="G6" t="s">
        <v>28</v>
      </c>
      <c r="J6" s="4" t="str">
        <f t="shared" si="0"/>
        <v>Unpaid</v>
      </c>
    </row>
    <row r="7" spans="1:10">
      <c r="A7">
        <v>1006</v>
      </c>
      <c r="B7" t="s">
        <v>29</v>
      </c>
      <c r="C7" t="s">
        <v>30</v>
      </c>
      <c r="D7" t="s">
        <v>21</v>
      </c>
      <c r="E7" s="2">
        <v>2100</v>
      </c>
      <c r="F7" s="4" t="s">
        <v>31</v>
      </c>
      <c r="G7" t="s">
        <v>23</v>
      </c>
      <c r="J7" s="4" t="str">
        <f t="shared" si="0"/>
        <v>Paid</v>
      </c>
    </row>
    <row r="8" spans="1:10">
      <c r="A8">
        <v>1007</v>
      </c>
      <c r="B8" t="s">
        <v>32</v>
      </c>
      <c r="C8" t="s">
        <v>33</v>
      </c>
      <c r="D8" t="s">
        <v>21</v>
      </c>
      <c r="F8" s="4" t="s">
        <v>34</v>
      </c>
      <c r="G8" t="s">
        <v>16</v>
      </c>
      <c r="J8" s="4" t="str">
        <f t="shared" si="0"/>
        <v>Unpaid</v>
      </c>
    </row>
    <row r="10" spans="1:10">
      <c r="B10" t="s">
        <v>35</v>
      </c>
      <c r="C10" t="s">
        <v>36</v>
      </c>
    </row>
    <row r="11" spans="1:10">
      <c r="B11" t="s">
        <v>26</v>
      </c>
      <c r="C11" t="s">
        <v>21</v>
      </c>
    </row>
    <row r="12" spans="1:10">
      <c r="B12" t="s">
        <v>14</v>
      </c>
      <c r="C12" t="s">
        <v>21</v>
      </c>
    </row>
    <row r="13" spans="1:10">
      <c r="B13" t="s">
        <v>9</v>
      </c>
      <c r="C13" t="s">
        <v>21</v>
      </c>
    </row>
    <row r="14" spans="1:10">
      <c r="B14" t="s">
        <v>21</v>
      </c>
      <c r="C14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9A078-62B6-4B53-8587-F8CC7285EF7A}">
  <dimension ref="A1:L8"/>
  <sheetViews>
    <sheetView workbookViewId="0">
      <selection activeCell="I11" sqref="I11"/>
    </sheetView>
  </sheetViews>
  <sheetFormatPr defaultRowHeight="15"/>
  <cols>
    <col min="2" max="2" width="13.85546875" customWidth="1"/>
    <col min="4" max="4" width="11" customWidth="1"/>
    <col min="5" max="5" width="16.85546875" style="5" bestFit="1" customWidth="1"/>
    <col min="6" max="6" width="10.7109375" style="3" customWidth="1"/>
    <col min="10" max="10" width="9.5703125" bestFit="1" customWidth="1"/>
    <col min="12" max="12" width="14.57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J1" s="23" t="s">
        <v>37</v>
      </c>
    </row>
    <row r="2" spans="1:12">
      <c r="A2">
        <v>1001</v>
      </c>
      <c r="B2" t="s">
        <v>38</v>
      </c>
      <c r="C2" t="s">
        <v>30</v>
      </c>
      <c r="D2" t="s">
        <v>21</v>
      </c>
      <c r="E2" s="5">
        <v>4500</v>
      </c>
      <c r="F2" s="3" t="s">
        <v>10</v>
      </c>
      <c r="G2" t="s">
        <v>23</v>
      </c>
      <c r="K2" s="20" t="s">
        <v>39</v>
      </c>
      <c r="L2" s="22" t="s">
        <v>40</v>
      </c>
    </row>
    <row r="3" spans="1:12">
      <c r="A3">
        <v>1002</v>
      </c>
      <c r="B3" t="s">
        <v>41</v>
      </c>
      <c r="C3" t="s">
        <v>13</v>
      </c>
      <c r="D3" t="s">
        <v>21</v>
      </c>
      <c r="E3" s="5">
        <v>1200</v>
      </c>
      <c r="F3" s="3" t="s">
        <v>15</v>
      </c>
      <c r="G3" t="s">
        <v>16</v>
      </c>
      <c r="K3" s="21" t="s">
        <v>42</v>
      </c>
      <c r="L3" s="18" t="s">
        <v>43</v>
      </c>
    </row>
    <row r="4" spans="1:12">
      <c r="A4">
        <v>1004</v>
      </c>
      <c r="B4" t="s">
        <v>19</v>
      </c>
      <c r="C4" t="s">
        <v>44</v>
      </c>
      <c r="D4" t="s">
        <v>21</v>
      </c>
      <c r="E4" s="5">
        <v>3300</v>
      </c>
      <c r="F4" s="3" t="s">
        <v>22</v>
      </c>
      <c r="G4" t="s">
        <v>23</v>
      </c>
      <c r="K4" s="19"/>
    </row>
    <row r="5" spans="1:12">
      <c r="A5">
        <v>1005</v>
      </c>
      <c r="B5" t="s">
        <v>45</v>
      </c>
      <c r="C5" t="s">
        <v>44</v>
      </c>
      <c r="D5" t="s">
        <v>21</v>
      </c>
      <c r="E5" s="5">
        <v>800</v>
      </c>
      <c r="F5" s="3" t="s">
        <v>27</v>
      </c>
      <c r="G5" t="s">
        <v>16</v>
      </c>
    </row>
    <row r="6" spans="1:12">
      <c r="A6">
        <v>1006</v>
      </c>
      <c r="B6" t="s">
        <v>46</v>
      </c>
      <c r="C6" t="s">
        <v>30</v>
      </c>
      <c r="D6" t="s">
        <v>21</v>
      </c>
      <c r="E6" s="5">
        <v>2100</v>
      </c>
      <c r="F6" s="3" t="s">
        <v>31</v>
      </c>
      <c r="G6" t="s">
        <v>23</v>
      </c>
    </row>
    <row r="7" spans="1:12">
      <c r="A7">
        <v>1007</v>
      </c>
      <c r="B7" t="s">
        <v>47</v>
      </c>
      <c r="C7" t="s">
        <v>13</v>
      </c>
      <c r="D7" t="s">
        <v>21</v>
      </c>
      <c r="F7" s="3" t="s">
        <v>34</v>
      </c>
      <c r="G7" t="s">
        <v>16</v>
      </c>
    </row>
    <row r="8" spans="1:12">
      <c r="E8"/>
      <c r="F8"/>
    </row>
  </sheetData>
  <conditionalFormatting sqref="E1:E7">
    <cfRule type="expression" dxfId="10" priority="1">
      <formula>LEN(TRIM(E1))=0</formula>
    </cfRule>
  </conditionalFormatting>
  <conditionalFormatting sqref="A1:G7 A9:G1048576">
    <cfRule type="expression" dxfId="9" priority="2">
      <formula>$G1="Unpaid"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96074-1614-4FAA-BE1A-4BFA265710C7}">
  <dimension ref="A1:C8"/>
  <sheetViews>
    <sheetView tabSelected="1" workbookViewId="0">
      <selection activeCell="E6" sqref="E6"/>
    </sheetView>
  </sheetViews>
  <sheetFormatPr defaultRowHeight="15"/>
  <cols>
    <col min="1" max="1" width="15.5703125" style="8" customWidth="1"/>
    <col min="2" max="2" width="28.42578125" style="8" customWidth="1"/>
    <col min="3" max="3" width="29.140625" style="8" customWidth="1"/>
  </cols>
  <sheetData>
    <row r="1" spans="1:3" ht="14.25" customHeight="1">
      <c r="A1" s="6" t="s">
        <v>48</v>
      </c>
      <c r="B1" s="9" t="s">
        <v>49</v>
      </c>
      <c r="C1" s="10" t="s">
        <v>50</v>
      </c>
    </row>
    <row r="2" spans="1:3" ht="30.75">
      <c r="A2" s="6" t="s">
        <v>51</v>
      </c>
      <c r="B2" s="9" t="s">
        <v>52</v>
      </c>
      <c r="C2" s="24" t="s">
        <v>53</v>
      </c>
    </row>
    <row r="3" spans="1:3" ht="30.75">
      <c r="A3" s="7" t="s">
        <v>2</v>
      </c>
      <c r="B3" s="13" t="s">
        <v>52</v>
      </c>
      <c r="C3" s="25" t="s">
        <v>53</v>
      </c>
    </row>
    <row r="4" spans="1:3" ht="45.75">
      <c r="A4" s="7" t="s">
        <v>3</v>
      </c>
      <c r="B4" s="13" t="s">
        <v>54</v>
      </c>
      <c r="C4" s="25" t="s">
        <v>55</v>
      </c>
    </row>
    <row r="5" spans="1:3" ht="33.75" customHeight="1">
      <c r="A5" s="7" t="s">
        <v>56</v>
      </c>
      <c r="B5" s="11" t="s">
        <v>57</v>
      </c>
      <c r="C5" s="12" t="s">
        <v>58</v>
      </c>
    </row>
    <row r="6" spans="1:3" ht="30.75">
      <c r="A6" s="7" t="s">
        <v>5</v>
      </c>
      <c r="B6" s="11" t="s">
        <v>59</v>
      </c>
      <c r="C6" s="16" t="s">
        <v>60</v>
      </c>
    </row>
    <row r="7" spans="1:3" ht="30.75">
      <c r="A7" s="7" t="s">
        <v>6</v>
      </c>
      <c r="B7" s="13" t="s">
        <v>52</v>
      </c>
      <c r="C7" s="25" t="s">
        <v>53</v>
      </c>
    </row>
    <row r="8" spans="1:3" ht="30.75">
      <c r="A8" s="14" t="s">
        <v>61</v>
      </c>
      <c r="B8" s="15" t="s">
        <v>62</v>
      </c>
      <c r="C8" s="17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2026-06-22T14:27:38Z</dcterms:created>
  <dcterms:modified xsi:type="dcterms:W3CDTF">2026-07-08T18:52:23Z</dcterms:modified>
  <cp:category/>
  <cp:contentStatus/>
</cp:coreProperties>
</file>